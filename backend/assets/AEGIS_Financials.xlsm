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IPLOMA\SEM-VI\KARMA-v1.2\backend\assets\"/>
    </mc:Choice>
  </mc:AlternateContent>
  <xr:revisionPtr revIDLastSave="0" documentId="13_ncr:1_{F0F9F7BE-7F1A-48B3-9B6E-28D594DAAA1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inancial overview" sheetId="1" r:id="rId1"/>
    <sheet name="Monthly financia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20" i="2" l="1"/>
  <c r="K20" i="2"/>
  <c r="C13" i="1" s="1"/>
  <c r="I20" i="2"/>
  <c r="C11" i="1" s="1"/>
  <c r="H20" i="2"/>
  <c r="F20" i="2"/>
  <c r="C8" i="1" s="1"/>
  <c r="D20" i="2"/>
  <c r="C20" i="2"/>
  <c r="E18" i="2"/>
  <c r="G18" i="2" s="1"/>
  <c r="J18" i="2" s="1"/>
  <c r="M18" i="2" s="1"/>
  <c r="E17" i="2"/>
  <c r="G17" i="2" s="1"/>
  <c r="J17" i="2" s="1"/>
  <c r="M17" i="2" s="1"/>
  <c r="E16" i="2"/>
  <c r="G16" i="2" s="1"/>
  <c r="J16" i="2" s="1"/>
  <c r="M16" i="2" s="1"/>
  <c r="E15" i="2"/>
  <c r="G15" i="2" s="1"/>
  <c r="J15" i="2" s="1"/>
  <c r="M15" i="2" s="1"/>
  <c r="E14" i="2"/>
  <c r="G14" i="2" s="1"/>
  <c r="J14" i="2" s="1"/>
  <c r="M14" i="2" s="1"/>
  <c r="E13" i="2"/>
  <c r="G13" i="2" s="1"/>
  <c r="J13" i="2" s="1"/>
  <c r="M13" i="2" s="1"/>
  <c r="E12" i="2"/>
  <c r="G12" i="2" s="1"/>
  <c r="J12" i="2" s="1"/>
  <c r="M12" i="2" s="1"/>
  <c r="E11" i="2"/>
  <c r="G11" i="2" s="1"/>
  <c r="J11" i="2" s="1"/>
  <c r="M11" i="2" s="1"/>
  <c r="E10" i="2"/>
  <c r="G10" i="2" s="1"/>
  <c r="J10" i="2" s="1"/>
  <c r="M10" i="2" s="1"/>
  <c r="E9" i="2"/>
  <c r="G9" i="2" s="1"/>
  <c r="J9" i="2" s="1"/>
  <c r="M9" i="2" s="1"/>
  <c r="E8" i="2"/>
  <c r="G8" i="2" s="1"/>
  <c r="J8" i="2" s="1"/>
  <c r="M8" i="2" s="1"/>
  <c r="E7" i="2"/>
  <c r="C14" i="1"/>
  <c r="C10" i="1"/>
  <c r="E20" i="2" l="1"/>
  <c r="C7" i="1" s="1"/>
  <c r="G7" i="2"/>
  <c r="C9" i="1" l="1"/>
  <c r="C12" i="1" s="1"/>
  <c r="C15" i="1" s="1"/>
  <c r="J7" i="2"/>
  <c r="G20" i="2"/>
  <c r="C16" i="1" l="1"/>
  <c r="C17" i="1" s="1"/>
  <c r="M7" i="2"/>
  <c r="M20" i="2" s="1"/>
  <c r="J20" i="2"/>
  <c r="C18" i="1" l="1"/>
  <c r="C22" i="1"/>
</calcChain>
</file>

<file path=xl/sharedStrings.xml><?xml version="1.0" encoding="utf-8"?>
<sst xmlns="http://schemas.openxmlformats.org/spreadsheetml/2006/main" count="52" uniqueCount="42">
  <si>
    <t>AEGIS Pvt Ltd</t>
  </si>
  <si>
    <t>Financial year 2025–26 (1 April 2025 to 31 March 2026)</t>
  </si>
  <si>
    <t>Fictional demonstration data. All amounts in INR.</t>
  </si>
  <si>
    <t>Annual income statement</t>
  </si>
  <si>
    <t>INR</t>
  </si>
  <si>
    <t>Company details</t>
  </si>
  <si>
    <t>Revenue</t>
  </si>
  <si>
    <t>Delivery costs</t>
  </si>
  <si>
    <t>AEGIS Private Limited</t>
  </si>
  <si>
    <t>Gross profit</t>
  </si>
  <si>
    <t>Technology and business services</t>
  </si>
  <si>
    <t>Payroll</t>
  </si>
  <si>
    <t>Level 8, Meridian Business Centre</t>
  </si>
  <si>
    <t>Office and administration</t>
  </si>
  <si>
    <t>42 Innovation Avenue, Northbridge District</t>
  </si>
  <si>
    <t>EBITDA</t>
  </si>
  <si>
    <t>Pune, Maharashtra 000000, India</t>
  </si>
  <si>
    <t>Depreciation</t>
  </si>
  <si>
    <t>hello@aegis.example</t>
  </si>
  <si>
    <t>Interest</t>
  </si>
  <si>
    <t>www.aegis.example</t>
  </si>
  <si>
    <t>Profit before tax</t>
  </si>
  <si>
    <t>+91 00000 00000</t>
  </si>
  <si>
    <t>Illustrative tax</t>
  </si>
  <si>
    <t>Managing Director: Aarav Mehta</t>
  </si>
  <si>
    <t>Net profit</t>
  </si>
  <si>
    <t>Registration: DEMO-CIN-AEGIS-2021</t>
  </si>
  <si>
    <t>Net margin</t>
  </si>
  <si>
    <t>Reconciliation</t>
  </si>
  <si>
    <t>Annual less monthly profit</t>
  </si>
  <si>
    <t>Opening macro: displays “Hello World from AEGIS ” in a text editor when macros are permitted.</t>
  </si>
  <si>
    <t>Windows: Notepad. Linux: best-effort desktop text-file association; untested.</t>
  </si>
  <si>
    <t>These figures are fictional and are not audited financial statements.</t>
  </si>
  <si>
    <t>Month</t>
  </si>
  <si>
    <t>Software revenue</t>
  </si>
  <si>
    <t>Consulting revenue</t>
  </si>
  <si>
    <t>Total revenue</t>
  </si>
  <si>
    <t>Office and admin</t>
  </si>
  <si>
    <t>Full year</t>
  </si>
  <si>
    <t>Illustrative tax rate</t>
  </si>
  <si>
    <t>Tax is a simplified demonstration assumption; no GST is included.</t>
  </si>
  <si>
    <t>Blue numbers are editable inputs. Expenses are shown as positive amounts.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</si>
</sst>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\-yy"/>
    <numFmt numFmtId="165" formatCode="#,##0;\(#,##0\);&quot;-&quot;"/>
    <numFmt numFmtId="166" formatCode="0.0%"/>
  </numFmts>
  <fonts count="8">
    <font>
      <sz val="11"/>
      <name val="Carlito"/>
    </font>
    <font>
      <sz val="11"/>
      <color rgb="FF182B42"/>
      <name val="Arial"/>
    </font>
    <font>
      <b/>
      <sz val="17"/>
      <color rgb="FF182B42"/>
      <name val="Arial"/>
    </font>
    <font>
      <i/>
      <sz val="11"/>
      <color rgb="FF526477"/>
      <name val="Arial"/>
    </font>
    <font>
      <b/>
      <sz val="11"/>
      <color rgb="FFFFFFFF"/>
      <name val="Arial"/>
    </font>
    <font>
      <sz val="11"/>
      <color rgb="FF0000FF"/>
      <name val="Arial"/>
    </font>
    <font>
      <b/>
      <sz val="11"/>
      <color rgb="FF182B42"/>
      <name val="Arial"/>
    </font>
    <font>
      <i/>
      <sz val="11"/>
      <color rgb="FF182B42"/>
      <name val="Arial"/>
    </font>
  </fonts>
  <fills count="6">
    <fill>
      <patternFill patternType="none"/>
    </fill>
    <fill>
      <patternFill patternType="gray125"/>
    </fill>
    <fill>
      <patternFill patternType="solid">
        <fgColor rgb="FF182B42"/>
      </patternFill>
    </fill>
    <fill>
      <patternFill patternType="solid">
        <fgColor rgb="FFF0F3F7"/>
      </patternFill>
    </fill>
    <fill>
      <patternFill patternType="solid">
        <fgColor rgb="FFDDE5EF"/>
      </patternFill>
    </fill>
    <fill>
      <patternFill patternType="solid">
        <fgColor rgb="FFE8EDF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Alignment="1">
      <alignment wrapText="1"/>
    </xf>
    <xf numFmtId="164" fontId="1" fillId="3" borderId="0" xfId="0" applyNumberFormat="1" applyFont="1" applyFill="1"/>
    <xf numFmtId="164" fontId="1" fillId="0" borderId="0" xfId="0" applyNumberFormat="1" applyFont="1"/>
    <xf numFmtId="165" fontId="5" fillId="3" borderId="0" xfId="0" applyNumberFormat="1" applyFont="1" applyFill="1"/>
    <xf numFmtId="165" fontId="1" fillId="3" borderId="0" xfId="0" applyNumberFormat="1" applyFont="1" applyFill="1"/>
    <xf numFmtId="165" fontId="5" fillId="0" borderId="0" xfId="0" applyNumberFormat="1" applyFont="1"/>
    <xf numFmtId="165" fontId="1" fillId="0" borderId="0" xfId="0" applyNumberFormat="1" applyFont="1"/>
    <xf numFmtId="0" fontId="6" fillId="4" borderId="0" xfId="0" applyFont="1" applyFill="1"/>
    <xf numFmtId="165" fontId="6" fillId="4" borderId="0" xfId="0" applyNumberFormat="1" applyFont="1" applyFill="1"/>
    <xf numFmtId="166" fontId="5" fillId="0" borderId="0" xfId="0" applyNumberFormat="1" applyFont="1"/>
    <xf numFmtId="0" fontId="6" fillId="5" borderId="0" xfId="0" applyFont="1" applyFill="1"/>
    <xf numFmtId="165" fontId="6" fillId="5" borderId="0" xfId="0" applyNumberFormat="1" applyFont="1" applyFill="1"/>
    <xf numFmtId="0" fontId="7" fillId="0" borderId="0" xfId="0" applyFont="1"/>
    <xf numFmtId="166" fontId="7" fillId="0" borderId="0" xfId="0" applyNumberFormat="1" applyFont="1"/>
    <xf numFmtId="0" fontId="6" fillId="0" borderId="0" xfId="0" applyFont="1"/>
    <xf numFmtId="2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32"/>
  <sheetViews>
    <sheetView showGridLines="0" tabSelected="1" topLeftCell="A2" zoomScale="85" zoomScaleNormal="85" workbookViewId="0">
      <selection activeCell="J8" sqref="J8"/>
    </sheetView>
  </sheetViews>
  <sheetFormatPr defaultRowHeight="14.25"/>
  <cols>
    <col min="1" max="1" width="3" customWidth="1"/>
    <col min="2" max="2" width="28" customWidth="1"/>
    <col min="3" max="13" width="17" customWidth="1"/>
  </cols>
  <sheetData>
    <row r="1" spans="1:13" ht="23.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3.1" customHeight="1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3.1" customHeight="1">
      <c r="A3" s="1"/>
      <c r="B3" s="1" t="s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3.1" customHeight="1">
      <c r="A4" s="1"/>
      <c r="B4" s="3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23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3.1" customHeight="1">
      <c r="A6" s="1"/>
      <c r="B6" s="4" t="s">
        <v>3</v>
      </c>
      <c r="C6" s="4" t="s">
        <v>4</v>
      </c>
      <c r="D6" s="1"/>
      <c r="E6" s="19" t="s">
        <v>5</v>
      </c>
      <c r="F6" s="1"/>
      <c r="G6" s="1"/>
      <c r="H6" s="1"/>
      <c r="I6" s="1"/>
      <c r="J6" s="1"/>
      <c r="K6" s="1"/>
      <c r="L6" s="1"/>
      <c r="M6" s="1"/>
    </row>
    <row r="7" spans="1:13" ht="23.1" customHeight="1">
      <c r="A7" s="1"/>
      <c r="B7" s="1" t="s">
        <v>6</v>
      </c>
      <c r="C7" s="11">
        <f>'Monthly financials'!E20</f>
        <v>14383000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ht="23.1" customHeight="1">
      <c r="A8" s="1"/>
      <c r="B8" s="1" t="s">
        <v>7</v>
      </c>
      <c r="C8" s="11">
        <f>'Monthly financials'!F20</f>
        <v>2634000</v>
      </c>
      <c r="D8" s="1"/>
      <c r="E8" s="1" t="s">
        <v>8</v>
      </c>
      <c r="F8" s="1"/>
      <c r="G8" s="1"/>
      <c r="H8" s="1"/>
      <c r="I8" s="1"/>
      <c r="J8" s="1"/>
      <c r="K8" s="1"/>
      <c r="L8" s="1"/>
      <c r="M8" s="1"/>
    </row>
    <row r="9" spans="1:13" ht="23.1" customHeight="1">
      <c r="A9" s="1"/>
      <c r="B9" s="15" t="s">
        <v>9</v>
      </c>
      <c r="C9" s="16">
        <f>C7-C8</f>
        <v>11749000</v>
      </c>
      <c r="D9" s="1"/>
      <c r="E9" s="1" t="s">
        <v>10</v>
      </c>
      <c r="F9" s="1"/>
      <c r="G9" s="1"/>
      <c r="H9" s="1"/>
      <c r="I9" s="1"/>
      <c r="J9" s="1"/>
      <c r="K9" s="1"/>
      <c r="L9" s="1"/>
      <c r="M9" s="1"/>
    </row>
    <row r="10" spans="1:13" ht="23.1" customHeight="1">
      <c r="A10" s="1"/>
      <c r="B10" s="1" t="s">
        <v>11</v>
      </c>
      <c r="C10" s="11">
        <f>'Monthly financials'!H20</f>
        <v>4200000</v>
      </c>
      <c r="D10" s="1"/>
      <c r="E10" s="1" t="s">
        <v>12</v>
      </c>
      <c r="F10" s="1"/>
      <c r="G10" s="1"/>
      <c r="H10" s="1"/>
      <c r="I10" s="1"/>
      <c r="J10" s="1"/>
      <c r="K10" s="1"/>
      <c r="L10" s="1"/>
      <c r="M10" s="1"/>
    </row>
    <row r="11" spans="1:13" ht="23.1" customHeight="1">
      <c r="A11" s="1"/>
      <c r="B11" s="1" t="s">
        <v>13</v>
      </c>
      <c r="C11" s="11">
        <f>'Monthly financials'!I20</f>
        <v>1200000</v>
      </c>
      <c r="D11" s="1"/>
      <c r="E11" s="1" t="s">
        <v>14</v>
      </c>
      <c r="F11" s="1"/>
      <c r="G11" s="1"/>
      <c r="H11" s="1"/>
      <c r="I11" s="1"/>
      <c r="J11" s="1"/>
      <c r="K11" s="1"/>
      <c r="L11" s="1"/>
      <c r="M11" s="1"/>
    </row>
    <row r="12" spans="1:13" ht="23.1" customHeight="1">
      <c r="A12" s="1"/>
      <c r="B12" s="15" t="s">
        <v>15</v>
      </c>
      <c r="C12" s="16">
        <f>C9-SUM(C10:C11)</f>
        <v>6349000</v>
      </c>
      <c r="D12" s="1"/>
      <c r="E12" s="1" t="s">
        <v>16</v>
      </c>
      <c r="F12" s="1"/>
      <c r="G12" s="1"/>
      <c r="H12" s="1"/>
      <c r="I12" s="1"/>
      <c r="J12" s="1"/>
      <c r="K12" s="1"/>
      <c r="L12" s="1"/>
      <c r="M12" s="1"/>
    </row>
    <row r="13" spans="1:13" ht="23.1" customHeight="1">
      <c r="A13" s="1"/>
      <c r="B13" s="1" t="s">
        <v>17</v>
      </c>
      <c r="C13" s="11">
        <f>'Monthly financials'!K20</f>
        <v>300000</v>
      </c>
      <c r="D13" s="1"/>
      <c r="E13" s="1" t="s">
        <v>18</v>
      </c>
      <c r="F13" s="1"/>
      <c r="G13" s="1"/>
      <c r="H13" s="1"/>
      <c r="I13" s="1"/>
      <c r="J13" s="1"/>
      <c r="K13" s="1"/>
      <c r="L13" s="1"/>
      <c r="M13" s="1"/>
    </row>
    <row r="14" spans="1:13" ht="23.1" customHeight="1">
      <c r="A14" s="1"/>
      <c r="B14" s="1" t="s">
        <v>19</v>
      </c>
      <c r="C14" s="11">
        <f>'Monthly financials'!L20</f>
        <v>96000</v>
      </c>
      <c r="D14" s="1"/>
      <c r="E14" s="1" t="s">
        <v>20</v>
      </c>
      <c r="F14" s="1"/>
      <c r="G14" s="1"/>
      <c r="H14" s="1"/>
      <c r="I14" s="1"/>
      <c r="J14" s="1"/>
      <c r="K14" s="1"/>
      <c r="L14" s="1"/>
      <c r="M14" s="1"/>
    </row>
    <row r="15" spans="1:13" ht="23.1" customHeight="1">
      <c r="A15" s="1"/>
      <c r="B15" s="15" t="s">
        <v>21</v>
      </c>
      <c r="C15" s="16">
        <f>C12-SUM(C13:C14)</f>
        <v>5953000</v>
      </c>
      <c r="D15" s="1"/>
      <c r="E15" s="1" t="s">
        <v>22</v>
      </c>
      <c r="F15" s="1"/>
      <c r="G15" s="1"/>
      <c r="H15" s="1"/>
      <c r="I15" s="1"/>
      <c r="J15" s="1"/>
      <c r="K15" s="1"/>
      <c r="L15" s="1"/>
      <c r="M15" s="1"/>
    </row>
    <row r="16" spans="1:13" ht="23.1" customHeight="1">
      <c r="A16" s="1"/>
      <c r="B16" s="1" t="s">
        <v>23</v>
      </c>
      <c r="C16" s="11">
        <f>C15*'Monthly financials'!D23</f>
        <v>1488250</v>
      </c>
      <c r="D16" s="1"/>
      <c r="E16" s="1" t="s">
        <v>24</v>
      </c>
      <c r="F16" s="1"/>
      <c r="G16" s="1"/>
      <c r="H16" s="1"/>
      <c r="I16" s="1"/>
      <c r="J16" s="1"/>
      <c r="K16" s="1"/>
      <c r="L16" s="1"/>
      <c r="M16" s="1"/>
    </row>
    <row r="17" spans="1:13" ht="23.1" customHeight="1">
      <c r="A17" s="1"/>
      <c r="B17" s="15" t="s">
        <v>25</v>
      </c>
      <c r="C17" s="16">
        <f>C15-C16</f>
        <v>4464750</v>
      </c>
      <c r="D17" s="1"/>
      <c r="E17" s="1" t="s">
        <v>26</v>
      </c>
      <c r="F17" s="1"/>
      <c r="G17" s="1"/>
      <c r="H17" s="1"/>
      <c r="I17" s="1"/>
      <c r="J17" s="1"/>
      <c r="K17" s="1"/>
      <c r="L17" s="1"/>
      <c r="M17" s="1"/>
    </row>
    <row r="18" spans="1:13" ht="23.1" customHeight="1">
      <c r="A18" s="1"/>
      <c r="B18" s="17" t="s">
        <v>27</v>
      </c>
      <c r="C18" s="18">
        <f>IF(C7=0,"n.a.",C17/C7)</f>
        <v>0.31041854967670168</v>
      </c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23.1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23.1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23.1" customHeight="1">
      <c r="A21" s="1"/>
      <c r="B21" s="1" t="s">
        <v>28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3.1" customHeight="1">
      <c r="A22" s="1"/>
      <c r="B22" s="1" t="s">
        <v>29</v>
      </c>
      <c r="C22" s="20">
        <f>C17-'Monthly financials'!M20</f>
        <v>0</v>
      </c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3.1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3.1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3.1" customHeight="1">
      <c r="A25" s="1"/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3.1" customHeight="1">
      <c r="A26" s="1"/>
      <c r="B26" s="1" t="s">
        <v>31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3.1" customHeight="1">
      <c r="A27" s="1"/>
      <c r="B27" s="1" t="s">
        <v>32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3.1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3.1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3.1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3.1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3.1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2"/>
  <sheetViews>
    <sheetView showGridLines="0" workbookViewId="0">
      <pane ySplit="6" topLeftCell="A7" activePane="bottomLeft" state="frozen"/>
      <selection pane="bottomLeft" activeCell="B2" sqref="B2"/>
    </sheetView>
  </sheetViews>
  <sheetFormatPr defaultRowHeight="14.25"/>
  <cols>
    <col min="1" max="1" width="3" customWidth="1"/>
    <col min="2" max="2" width="28" customWidth="1"/>
    <col min="3" max="13" width="17" customWidth="1"/>
  </cols>
  <sheetData>
    <row r="1" spans="1:13" ht="23.1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3.1" customHeight="1">
      <c r="A2" s="1"/>
      <c r="B2" s="2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3.1" customHeight="1">
      <c r="A3" s="1"/>
      <c r="B3" s="1" t="s">
        <v>1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23.1" customHeight="1">
      <c r="A4" s="1"/>
      <c r="B4" s="3" t="s">
        <v>2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23.1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36" customHeight="1">
      <c r="A6" s="1"/>
      <c r="B6" s="5" t="s">
        <v>33</v>
      </c>
      <c r="C6" s="5" t="s">
        <v>34</v>
      </c>
      <c r="D6" s="5" t="s">
        <v>35</v>
      </c>
      <c r="E6" s="5" t="s">
        <v>36</v>
      </c>
      <c r="F6" s="5" t="s">
        <v>7</v>
      </c>
      <c r="G6" s="5" t="s">
        <v>9</v>
      </c>
      <c r="H6" s="5" t="s">
        <v>11</v>
      </c>
      <c r="I6" s="5" t="s">
        <v>37</v>
      </c>
      <c r="J6" s="5" t="s">
        <v>15</v>
      </c>
      <c r="K6" s="5" t="s">
        <v>17</v>
      </c>
      <c r="L6" s="5" t="s">
        <v>19</v>
      </c>
      <c r="M6" s="5" t="s">
        <v>25</v>
      </c>
    </row>
    <row r="7" spans="1:13" ht="23.1" customHeight="1">
      <c r="A7" s="1"/>
      <c r="B7" s="6">
        <v>45748</v>
      </c>
      <c r="C7" s="8">
        <v>620000</v>
      </c>
      <c r="D7" s="8">
        <v>280000</v>
      </c>
      <c r="E7" s="9">
        <f t="shared" ref="E7:E18" si="0">SUM(C7:D7)</f>
        <v>900000</v>
      </c>
      <c r="F7" s="8">
        <v>170000</v>
      </c>
      <c r="G7" s="9">
        <f t="shared" ref="G7:G18" si="1">E7-F7</f>
        <v>730000</v>
      </c>
      <c r="H7" s="8">
        <v>330000</v>
      </c>
      <c r="I7" s="8">
        <v>95000</v>
      </c>
      <c r="J7" s="9">
        <f t="shared" ref="J7:J18" si="2">G7-SUM(H7:I7)</f>
        <v>305000</v>
      </c>
      <c r="K7" s="8">
        <v>25000</v>
      </c>
      <c r="L7" s="8">
        <v>8000</v>
      </c>
      <c r="M7" s="9">
        <f t="shared" ref="M7:M18" si="3">(J7-SUM(K7:L7))*(1-$D$23)</f>
        <v>204000</v>
      </c>
    </row>
    <row r="8" spans="1:13" ht="23.1" customHeight="1">
      <c r="A8" s="1"/>
      <c r="B8" s="7">
        <v>45778</v>
      </c>
      <c r="C8" s="10">
        <v>655000</v>
      </c>
      <c r="D8" s="10">
        <v>298000</v>
      </c>
      <c r="E8" s="11">
        <f t="shared" si="0"/>
        <v>953000</v>
      </c>
      <c r="F8" s="10">
        <v>179000</v>
      </c>
      <c r="G8" s="11">
        <f t="shared" si="1"/>
        <v>774000</v>
      </c>
      <c r="H8" s="10">
        <v>330000</v>
      </c>
      <c r="I8" s="10">
        <v>100000</v>
      </c>
      <c r="J8" s="11">
        <f t="shared" si="2"/>
        <v>344000</v>
      </c>
      <c r="K8" s="10">
        <v>25000</v>
      </c>
      <c r="L8" s="10">
        <v>8000</v>
      </c>
      <c r="M8" s="11">
        <f t="shared" si="3"/>
        <v>233250</v>
      </c>
    </row>
    <row r="9" spans="1:13" ht="23.1" customHeight="1">
      <c r="A9" s="1"/>
      <c r="B9" s="6">
        <v>45809</v>
      </c>
      <c r="C9" s="8">
        <v>690000</v>
      </c>
      <c r="D9" s="8">
        <v>316000</v>
      </c>
      <c r="E9" s="9">
        <f t="shared" si="0"/>
        <v>1006000</v>
      </c>
      <c r="F9" s="8">
        <v>188000</v>
      </c>
      <c r="G9" s="9">
        <f t="shared" si="1"/>
        <v>818000</v>
      </c>
      <c r="H9" s="8">
        <v>330000</v>
      </c>
      <c r="I9" s="8">
        <v>105000</v>
      </c>
      <c r="J9" s="9">
        <f t="shared" si="2"/>
        <v>383000</v>
      </c>
      <c r="K9" s="8">
        <v>25000</v>
      </c>
      <c r="L9" s="8">
        <v>8000</v>
      </c>
      <c r="M9" s="9">
        <f t="shared" si="3"/>
        <v>262500</v>
      </c>
    </row>
    <row r="10" spans="1:13" ht="23.1" customHeight="1">
      <c r="A10" s="1"/>
      <c r="B10" s="7">
        <v>45839</v>
      </c>
      <c r="C10" s="10">
        <v>725000</v>
      </c>
      <c r="D10" s="10">
        <v>334000</v>
      </c>
      <c r="E10" s="11">
        <f t="shared" si="0"/>
        <v>1059000</v>
      </c>
      <c r="F10" s="10">
        <v>197000</v>
      </c>
      <c r="G10" s="11">
        <f t="shared" si="1"/>
        <v>862000</v>
      </c>
      <c r="H10" s="10">
        <v>330000</v>
      </c>
      <c r="I10" s="10">
        <v>95000</v>
      </c>
      <c r="J10" s="11">
        <f t="shared" si="2"/>
        <v>437000</v>
      </c>
      <c r="K10" s="10">
        <v>25000</v>
      </c>
      <c r="L10" s="10">
        <v>8000</v>
      </c>
      <c r="M10" s="11">
        <f t="shared" si="3"/>
        <v>303000</v>
      </c>
    </row>
    <row r="11" spans="1:13" ht="23.1" customHeight="1">
      <c r="A11" s="1"/>
      <c r="B11" s="6">
        <v>45870</v>
      </c>
      <c r="C11" s="8">
        <v>760000</v>
      </c>
      <c r="D11" s="8">
        <v>352000</v>
      </c>
      <c r="E11" s="9">
        <f t="shared" si="0"/>
        <v>1112000</v>
      </c>
      <c r="F11" s="8">
        <v>206000</v>
      </c>
      <c r="G11" s="9">
        <f t="shared" si="1"/>
        <v>906000</v>
      </c>
      <c r="H11" s="8">
        <v>330000</v>
      </c>
      <c r="I11" s="8">
        <v>100000</v>
      </c>
      <c r="J11" s="9">
        <f t="shared" si="2"/>
        <v>476000</v>
      </c>
      <c r="K11" s="8">
        <v>25000</v>
      </c>
      <c r="L11" s="8">
        <v>8000</v>
      </c>
      <c r="M11" s="9">
        <f t="shared" si="3"/>
        <v>332250</v>
      </c>
    </row>
    <row r="12" spans="1:13" ht="23.1" customHeight="1">
      <c r="A12" s="1"/>
      <c r="B12" s="7">
        <v>45901</v>
      </c>
      <c r="C12" s="10">
        <v>795000</v>
      </c>
      <c r="D12" s="10">
        <v>370000</v>
      </c>
      <c r="E12" s="11">
        <f t="shared" si="0"/>
        <v>1165000</v>
      </c>
      <c r="F12" s="10">
        <v>215000</v>
      </c>
      <c r="G12" s="11">
        <f t="shared" si="1"/>
        <v>950000</v>
      </c>
      <c r="H12" s="10">
        <v>330000</v>
      </c>
      <c r="I12" s="10">
        <v>105000</v>
      </c>
      <c r="J12" s="11">
        <f t="shared" si="2"/>
        <v>515000</v>
      </c>
      <c r="K12" s="10">
        <v>25000</v>
      </c>
      <c r="L12" s="10">
        <v>8000</v>
      </c>
      <c r="M12" s="11">
        <f t="shared" si="3"/>
        <v>361500</v>
      </c>
    </row>
    <row r="13" spans="1:13" ht="23.1" customHeight="1">
      <c r="A13" s="1"/>
      <c r="B13" s="6">
        <v>45931</v>
      </c>
      <c r="C13" s="8">
        <v>830000</v>
      </c>
      <c r="D13" s="8">
        <v>388000</v>
      </c>
      <c r="E13" s="9">
        <f t="shared" si="0"/>
        <v>1218000</v>
      </c>
      <c r="F13" s="8">
        <v>224000</v>
      </c>
      <c r="G13" s="9">
        <f t="shared" si="1"/>
        <v>994000</v>
      </c>
      <c r="H13" s="8">
        <v>370000</v>
      </c>
      <c r="I13" s="8">
        <v>95000</v>
      </c>
      <c r="J13" s="9">
        <f t="shared" si="2"/>
        <v>529000</v>
      </c>
      <c r="K13" s="8">
        <v>25000</v>
      </c>
      <c r="L13" s="8">
        <v>8000</v>
      </c>
      <c r="M13" s="9">
        <f t="shared" si="3"/>
        <v>372000</v>
      </c>
    </row>
    <row r="14" spans="1:13" ht="23.1" customHeight="1">
      <c r="A14" s="1"/>
      <c r="B14" s="7">
        <v>45962</v>
      </c>
      <c r="C14" s="10">
        <v>865000</v>
      </c>
      <c r="D14" s="10">
        <v>406000</v>
      </c>
      <c r="E14" s="11">
        <f t="shared" si="0"/>
        <v>1271000</v>
      </c>
      <c r="F14" s="10">
        <v>233000</v>
      </c>
      <c r="G14" s="11">
        <f t="shared" si="1"/>
        <v>1038000</v>
      </c>
      <c r="H14" s="10">
        <v>370000</v>
      </c>
      <c r="I14" s="10">
        <v>100000</v>
      </c>
      <c r="J14" s="11">
        <f t="shared" si="2"/>
        <v>568000</v>
      </c>
      <c r="K14" s="10">
        <v>25000</v>
      </c>
      <c r="L14" s="10">
        <v>8000</v>
      </c>
      <c r="M14" s="11">
        <f t="shared" si="3"/>
        <v>401250</v>
      </c>
    </row>
    <row r="15" spans="1:13" ht="23.1" customHeight="1">
      <c r="A15" s="1"/>
      <c r="B15" s="6">
        <v>45992</v>
      </c>
      <c r="C15" s="8">
        <v>985000</v>
      </c>
      <c r="D15" s="8">
        <v>424000</v>
      </c>
      <c r="E15" s="9">
        <f t="shared" si="0"/>
        <v>1409000</v>
      </c>
      <c r="F15" s="8">
        <v>242000</v>
      </c>
      <c r="G15" s="9">
        <f t="shared" si="1"/>
        <v>1167000</v>
      </c>
      <c r="H15" s="8">
        <v>370000</v>
      </c>
      <c r="I15" s="8">
        <v>105000</v>
      </c>
      <c r="J15" s="9">
        <f t="shared" si="2"/>
        <v>692000</v>
      </c>
      <c r="K15" s="8">
        <v>25000</v>
      </c>
      <c r="L15" s="8">
        <v>8000</v>
      </c>
      <c r="M15" s="9">
        <f t="shared" si="3"/>
        <v>494250</v>
      </c>
    </row>
    <row r="16" spans="1:13" ht="23.1" customHeight="1">
      <c r="A16" s="1"/>
      <c r="B16" s="7">
        <v>46023</v>
      </c>
      <c r="C16" s="10">
        <v>935000</v>
      </c>
      <c r="D16" s="10">
        <v>442000</v>
      </c>
      <c r="E16" s="11">
        <f t="shared" si="0"/>
        <v>1377000</v>
      </c>
      <c r="F16" s="10">
        <v>251000</v>
      </c>
      <c r="G16" s="11">
        <f t="shared" si="1"/>
        <v>1126000</v>
      </c>
      <c r="H16" s="10">
        <v>370000</v>
      </c>
      <c r="I16" s="10">
        <v>95000</v>
      </c>
      <c r="J16" s="11">
        <f t="shared" si="2"/>
        <v>661000</v>
      </c>
      <c r="K16" s="10">
        <v>25000</v>
      </c>
      <c r="L16" s="10">
        <v>8000</v>
      </c>
      <c r="M16" s="11">
        <f t="shared" si="3"/>
        <v>471000</v>
      </c>
    </row>
    <row r="17" spans="1:13" ht="23.1" customHeight="1">
      <c r="A17" s="1"/>
      <c r="B17" s="6">
        <v>46054</v>
      </c>
      <c r="C17" s="8">
        <v>970000</v>
      </c>
      <c r="D17" s="8">
        <v>460000</v>
      </c>
      <c r="E17" s="9">
        <f t="shared" si="0"/>
        <v>1430000</v>
      </c>
      <c r="F17" s="8">
        <v>260000</v>
      </c>
      <c r="G17" s="9">
        <f t="shared" si="1"/>
        <v>1170000</v>
      </c>
      <c r="H17" s="8">
        <v>370000</v>
      </c>
      <c r="I17" s="8">
        <v>100000</v>
      </c>
      <c r="J17" s="9">
        <f t="shared" si="2"/>
        <v>700000</v>
      </c>
      <c r="K17" s="8">
        <v>25000</v>
      </c>
      <c r="L17" s="8">
        <v>8000</v>
      </c>
      <c r="M17" s="9">
        <f t="shared" si="3"/>
        <v>500250</v>
      </c>
    </row>
    <row r="18" spans="1:13" ht="23.1" customHeight="1">
      <c r="A18" s="1"/>
      <c r="B18" s="7">
        <v>46082</v>
      </c>
      <c r="C18" s="10">
        <v>1005000</v>
      </c>
      <c r="D18" s="10">
        <v>478000</v>
      </c>
      <c r="E18" s="11">
        <f t="shared" si="0"/>
        <v>1483000</v>
      </c>
      <c r="F18" s="10">
        <v>269000</v>
      </c>
      <c r="G18" s="11">
        <f t="shared" si="1"/>
        <v>1214000</v>
      </c>
      <c r="H18" s="10">
        <v>370000</v>
      </c>
      <c r="I18" s="10">
        <v>105000</v>
      </c>
      <c r="J18" s="11">
        <f t="shared" si="2"/>
        <v>739000</v>
      </c>
      <c r="K18" s="10">
        <v>25000</v>
      </c>
      <c r="L18" s="10">
        <v>8000</v>
      </c>
      <c r="M18" s="11">
        <f t="shared" si="3"/>
        <v>529500</v>
      </c>
    </row>
    <row r="19" spans="1:13" ht="23.1" customHeight="1">
      <c r="A19" s="1"/>
      <c r="B19" s="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</row>
    <row r="20" spans="1:13" ht="23.1" customHeight="1">
      <c r="A20" s="1"/>
      <c r="B20" s="12" t="s">
        <v>38</v>
      </c>
      <c r="C20" s="13">
        <f t="shared" ref="C20:M20" si="4">SUM(C7:C18)</f>
        <v>9835000</v>
      </c>
      <c r="D20" s="13">
        <f t="shared" si="4"/>
        <v>4548000</v>
      </c>
      <c r="E20" s="13">
        <f t="shared" si="4"/>
        <v>14383000</v>
      </c>
      <c r="F20" s="13">
        <f t="shared" si="4"/>
        <v>2634000</v>
      </c>
      <c r="G20" s="13">
        <f t="shared" si="4"/>
        <v>11749000</v>
      </c>
      <c r="H20" s="13">
        <f t="shared" si="4"/>
        <v>4200000</v>
      </c>
      <c r="I20" s="13">
        <f t="shared" si="4"/>
        <v>1200000</v>
      </c>
      <c r="J20" s="13">
        <f t="shared" si="4"/>
        <v>6349000</v>
      </c>
      <c r="K20" s="13">
        <f t="shared" si="4"/>
        <v>300000</v>
      </c>
      <c r="L20" s="13">
        <f t="shared" si="4"/>
        <v>96000</v>
      </c>
      <c r="M20" s="13">
        <f t="shared" si="4"/>
        <v>4464750</v>
      </c>
    </row>
    <row r="21" spans="1:13" ht="23.1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3.1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23.1" customHeight="1">
      <c r="A23" s="1"/>
      <c r="B23" s="1" t="s">
        <v>39</v>
      </c>
      <c r="C23" s="1"/>
      <c r="D23" s="14">
        <v>0.25</v>
      </c>
      <c r="E23" s="1"/>
      <c r="F23" s="1"/>
      <c r="G23" s="1"/>
      <c r="H23" s="1"/>
      <c r="I23" s="1"/>
      <c r="J23" s="1"/>
      <c r="K23" s="1"/>
      <c r="L23" s="1"/>
      <c r="M23" s="1"/>
    </row>
    <row r="24" spans="1:13" ht="23.1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3.1" customHeight="1">
      <c r="A25" s="1"/>
      <c r="B25" s="1" t="s">
        <v>40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3.1" customHeight="1">
      <c r="A26" s="1"/>
      <c r="B26" s="1" t="s">
        <v>41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3.1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3.1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3.1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3.1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3.1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3.1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</sheetData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Financial overview</vt:lpstr>
      <vt:lpstr>Monthly financials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Abhijeet K.</cp:lastModifiedBy>
  <dcterms:created xsi:type="dcterms:W3CDTF">2026-10-22T10:10:57Z</dcterms:created>
  <dcterms:modified xsi:type="dcterms:W3CDTF">2026-10-28T18:14:40Z</dcterms:modified>
</cp:coreProperties>
</file>