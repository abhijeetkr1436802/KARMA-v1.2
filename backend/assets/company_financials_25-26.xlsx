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e9e7ff58d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93a905ad6295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(#,##0.0);&quot;-&quot;"/>
    <x:numFmt numFmtId="201" formatCode="0.0%"/>
  </x:numFmts>
  <x:fonts count="6">
    <x:font>
      <x:sz val="11"/>
      <x:name val="Carlito"/>
    </x:font>
    <x:font>
      <x:sz val="11"/>
      <x:color rgb="FF172033"/>
      <x:name val="Arial"/>
    </x:font>
    <x:font>
      <x:b/>
      <x:sz val="16"/>
      <x:color rgb="FF183B56"/>
      <x:name val="Arial"/>
    </x:font>
    <x:font>
      <x:b/>
      <x:sz val="11"/>
      <x:color rgb="FFFFFFFF"/>
      <x:name val="Arial"/>
    </x:font>
    <x:font>
      <x:sz val="11"/>
      <x:color rgb="FF245BC2"/>
      <x:name val="Arial"/>
    </x:font>
    <x:font>
      <x:b/>
      <x:sz val="11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0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dedb6a7c64442" /><Relationship Type="http://schemas.openxmlformats.org/officeDocument/2006/relationships/theme" Target="/xl/theme/theme1.xml" Id="Read841c477774585" /><Relationship Type="http://schemas.openxmlformats.org/officeDocument/2006/relationships/sharedStrings" Target="/xl/sharedStrings.xml" Id="Rf837a95fea4842e3" /><Relationship Type="http://schemas.openxmlformats.org/officeDocument/2006/relationships/worksheet" Target="/xl/worksheets/sheet1.xml" Id="R93a905ad6295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KarmaAcknowledgement" Type="http://schemas.openxmlformats.org/officeDocument/2006/relationships/hyperlink" Target="https://karma.invalid/document/PLACEHOLDER" TargetMode="Externa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/>
  </ns0:sheetViews>
  <ns0:sheetFormatPr defaultRowHeight="15"/>
  <ns0:cols>
    <ns0:col min="1" max="1" width="32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</ns0:cols>
  <ns0:sheetData>
    <ns0:row r="1" ht="25" customHeight="1">
      <ns0:c r="A1" s="2"/>
      <ns0:c r="B1" s="2"/>
      <ns0:c r="C1" s="2"/>
      <ns0:c r="D1" s="2"/>
      <ns0:c r="E1" s="2"/>
      <ns0:c r="F1" s="2"/>
    </ns0:row>
    <ns0:row r="2" ht="25" customHeight="1">
      <ns0:c r="A2" s="3" t="str">
        <ns0:v>Aegis Systems | Financials</ns0:v>
      </ns0:c>
      <ns0:c r="B2" s="2"/>
      <ns0:c r="C2" s="2"/>
      <ns0:c r="D2" s="2"/>
      <ns0:c r="E2" s="2"/>
      <ns0:c r="F2" s="2"/>
    </ns0:row>
    <ns0:row r="3" ht="25" customHeight="1">
      <ns0:c r="A3" s="2" t="str">
        <ns0:v>FY 2025–26 · April 2025–March 2026 · INR lakh</ns0:v>
      </ns0:c>
      <ns0:c r="B3" s="2"/>
      <ns0:c r="C3" s="2"/>
      <ns0:c r="D3" s="2"/>
      <ns0:c r="E3" s="2"/>
      <ns0:c r="F3" s="2"/>
    </ns0:row>
    <ns0:row r="4" ht="25" customHeight="1">
      <ns0:c r="A4" s="2" t="str">
        <ns0:v>Synthetic company data for the KARMA security lab.</ns0:v>
      </ns0:c>
      <ns0:c r="B4" s="2"/>
      <ns0:c r="C4" s="2"/>
      <ns0:c r="D4" s="2"/>
      <ns0:c r="E4" s="2"/>
      <ns0:c r="F4" s="2"/>
    </ns0:row>
    <ns0:row r="5" ht="25" customHeight="1">
      <ns0:c r="A5" s="2"/>
      <ns0:c r="B5" s="2"/>
      <ns0:c r="C5" s="2"/>
      <ns0:c r="D5" s="2"/>
      <ns0:c r="E5" s="2"/>
      <ns0:c r="F5" s="2"/>
    </ns0:row>
    <ns0:row r="6" ht="30" customHeight="1">
      <ns0:c r="A6" s="6" t="str">
        <ns0:v>Management P&amp;L</ns0:v>
      </ns0:c>
      <ns0:c r="B6" s="6" t="str">
        <ns0:v>Q1:26</ns0:v>
      </ns0:c>
      <ns0:c r="C6" s="6" t="str">
        <ns0:v>Q2:26</ns0:v>
      </ns0:c>
      <ns0:c r="D6" s="6" t="str">
        <ns0:v>Q3:26</ns0:v>
      </ns0:c>
      <ns0:c r="E6" s="6" t="str">
        <ns0:v>Q4:26</ns0:v>
      </ns0:c>
      <ns0:c r="F6" s="6" t="str">
        <ns0:v>FY:26</ns0:v>
      </ns0:c>
    </ns0:row>
    <ns0:row r="7" ht="25" customHeight="1">
      <ns0:c r="A7" s="2" t="str">
        <ns0:v>Revenue</ns0:v>
      </ns0:c>
      <ns0:c r="B7" s="8" t="n">
        <ns0:v>124</ns0:v>
      </ns0:c>
      <ns0:c r="C7" s="8" t="n">
        <ns0:v>138</ns0:v>
      </ns0:c>
      <ns0:c r="D7" s="8" t="n">
        <ns0:v>151</ns0:v>
      </ns0:c>
      <ns0:c r="E7" s="8" t="n">
        <ns0:v>167</ns0:v>
      </ns0:c>
      <ns0:c r="F7" s="9" t="n">
        <ns0:f>SUM(B7:E7)</ns0:f>
        <ns0:v>580</ns0:v>
      </ns0:c>
    </ns0:row>
    <ns0:row r="8" ht="25" customHeight="1">
      <ns0:c r="A8" s="2" t="str">
        <ns0:v>Cost of services</ns0:v>
      </ns0:c>
      <ns0:c r="B8" s="8" t="n">
        <ns0:v>48</ns0:v>
      </ns0:c>
      <ns0:c r="C8" s="8" t="n">
        <ns0:v>53</ns0:v>
      </ns0:c>
      <ns0:c r="D8" s="8" t="n">
        <ns0:v>57</ns0:v>
      </ns0:c>
      <ns0:c r="E8" s="8" t="n">
        <ns0:v>63</ns0:v>
      </ns0:c>
      <ns0:c r="F8" s="9" t="n">
        <ns0:f>SUM(B8:E8)</ns0:f>
        <ns0:v>221</ns0:v>
      </ns0:c>
    </ns0:row>
    <ns0:row r="9" ht="25" customHeight="1">
      <ns0:c r="A9" s="2" t="str">
        <ns0:v>Gross profit</ns0:v>
      </ns0:c>
      <ns0:c r="B9" s="9" t="n">
        <ns0:f>B7-B8</ns0:f>
        <ns0:v>76</ns0:v>
      </ns0:c>
      <ns0:c r="C9" s="9" t="n">
        <ns0:f>C7-C8</ns0:f>
        <ns0:v>85</ns0:v>
      </ns0:c>
      <ns0:c r="D9" s="9" t="n">
        <ns0:f>D7-D8</ns0:f>
        <ns0:v>94</ns0:v>
      </ns0:c>
      <ns0:c r="E9" s="9" t="n">
        <ns0:f>E7-E8</ns0:f>
        <ns0:v>104</ns0:v>
      </ns0:c>
      <ns0:c r="F9" s="9" t="n">
        <ns0:f>SUM(B9:E9)</ns0:f>
        <ns0:v>359</ns0:v>
      </ns0:c>
    </ns0:row>
    <ns0:row r="10" ht="25" customHeight="1">
      <ns0:c r="A10" s="2" t="str">
        <ns0:v>Payroll and administration</ns0:v>
      </ns0:c>
      <ns0:c r="B10" s="8" t="n">
        <ns0:v>35</ns0:v>
      </ns0:c>
      <ns0:c r="C10" s="8" t="n">
        <ns0:v>37</ns0:v>
      </ns0:c>
      <ns0:c r="D10" s="8" t="n">
        <ns0:v>41</ns0:v>
      </ns0:c>
      <ns0:c r="E10" s="8" t="n">
        <ns0:v>43</ns0:v>
      </ns0:c>
      <ns0:c r="F10" s="9" t="n">
        <ns0:f>SUM(B10:E10)</ns0:f>
        <ns0:v>156</ns0:v>
      </ns0:c>
    </ns0:row>
    <ns0:row r="11" ht="25" customHeight="1">
      <ns0:c r="A11" s="13" t="str">
        <ns0:v>Operating profit</ns0:v>
      </ns0:c>
      <ns0:c r="B11" s="14" t="n">
        <ns0:f>B9-B10</ns0:f>
        <ns0:v>41</ns0:v>
      </ns0:c>
      <ns0:c r="C11" s="14" t="n">
        <ns0:f>C9-C10</ns0:f>
        <ns0:v>48</ns0:v>
      </ns0:c>
      <ns0:c r="D11" s="14" t="n">
        <ns0:f>D9-D10</ns0:f>
        <ns0:v>53</ns0:v>
      </ns0:c>
      <ns0:c r="E11" s="14" t="n">
        <ns0:f>E9-E10</ns0:f>
        <ns0:v>61</ns0:v>
      </ns0:c>
      <ns0:c r="F11" s="14" t="n">
        <ns0:f>SUM(B11:E11)</ns0:f>
        <ns0:v>203</ns0:v>
      </ns0:c>
    </ns0:row>
    <ns0:row r="12" ht="25" customHeight="1">
      <ns0:c r="A12" s="2" t="str">
        <ns0:v>Operating margin</ns0:v>
      </ns0:c>
      <ns0:c r="B12" s="10" t="n">
        <ns0:f>B11/B7</ns0:f>
        <ns0:v>0.33064516129032256</ns0:v>
      </ns0:c>
      <ns0:c r="C12" s="10" t="n">
        <ns0:f>C11/C7</ns0:f>
        <ns0:v>0.34782608695652173</ns0:v>
      </ns0:c>
      <ns0:c r="D12" s="10" t="n">
        <ns0:f>D11/D7</ns0:f>
        <ns0:v>0.3509933774834437</ns0:v>
      </ns0:c>
      <ns0:c r="E12" s="10" t="n">
        <ns0:f>E11/E7</ns0:f>
        <ns0:v>0.3652694610778443</ns0:v>
      </ns0:c>
      <ns0:c r="F12" s="10" t="n">
        <ns0:f>F11/F7</ns0:f>
        <ns0:v>0.35</ns0:v>
      </ns0:c>
    </ns0:row>
    <ns0:row r="13" ht="25" customHeight="1">
      <ns0:c r="A13" s="2"/>
      <ns0:c r="B13" s="2"/>
      <ns0:c r="C13" s="2"/>
      <ns0:c r="D13" s="2"/>
      <ns0:c r="E13" s="2"/>
      <ns0:c r="F13" s="2"/>
    </ns0:row>
    <ns0:row r="14" ht="25" customHeight="1">
      <ns0:c r="A14" s="15" t="str">
        <ns0:v>Document register</ns0:v>
      </ns0:c>
      <ns0:c r="B14" s="2"/>
      <ns0:c r="C14" s="2"/>
      <ns0:c r="D14" s="2"/>
      <ns0:c r="E14" s="2"/>
      <ns0:c r="F14" s="2"/>
    </ns0:row>
    <ns0:row r="15" ht="25" customHeight="1">
      <ns0:c r="A15" s="7" t="str">
        <ns0:v>Open document acknowledgement page</ns0:v>
      </ns0:c>
      <ns0:c r="B15" s="2"/>
      <ns0:c r="C15" s="2"/>
      <ns0:c r="D15" s="2"/>
      <ns0:c r="E15" s="2"/>
      <ns0:c r="F15" s="2"/>
    </ns0:row>
    <ns0:row r="16" ht="25" customHeight="1">
      <ns0:c r="A16" s="2"/>
      <ns0:c r="B16" s="2"/>
      <ns0:c r="C16" s="2"/>
      <ns0:c r="D16" s="2"/>
      <ns0:c r="E16" s="2"/>
      <ns0:c r="F16" s="2"/>
    </ns0:row>
    <ns0:row r="17" ht="25" customHeight="1">
      <ns0:c r="A17" s="2" t="str">
        <ns0:v>The acknowledgement button sends a demo event to the lab dashboard.</ns0:v>
      </ns0:c>
      <ns0:c r="B17" s="2"/>
      <ns0:c r="C17" s="2"/>
      <ns0:c r="D17" s="2"/>
      <ns0:c r="E17" s="2"/>
      <ns0:c r="F17" s="2"/>
    </ns0:row>
    <ns0:row r="18" ht="25" customHeight="1">
      <ns0:c r="A18" s="2" t="str">
        <ns0:v>Opening this workbook alone sends no signal. No macros or backdoor.</ns0:v>
      </ns0:c>
      <ns0:c r="B18" s="2"/>
      <ns0:c r="C18" s="2"/>
      <ns0:c r="D18" s="2"/>
      <ns0:c r="E18" s="2"/>
      <ns0:c r="F18" s="2"/>
    </ns0:row>
    <ns0:row r="19" ht="25" customHeight="1">
      <ns0:c r="A19" s="2"/>
      <ns0:c r="B19" s="2"/>
      <ns0:c r="C19" s="2"/>
      <ns0:c r="D19" s="2"/>
      <ns0:c r="E19" s="2"/>
      <ns0:c r="F19" s="2"/>
    </ns0:row>
    <ns0:row r="20" ht="25" customHeight="1">
      <ns0:c r="A20" s="2"/>
      <ns0:c r="B20" s="2"/>
      <ns0:c r="C20" s="2"/>
      <ns0:c r="D20" s="2"/>
      <ns0:c r="E20" s="2"/>
      <ns0:c r="F20" s="2"/>
    </ns0:row>
  </ns0:sheetData>
  <ns0:hyperlinks>
    <ns0:hyperlink ref="A15" ns1:id="rIdKarmaAcknowledgement"/>
  </ns0:hyperlinks>
  <ns0:pageMargins left="0.7" right="0.7" top="0.75" bottom="0.75" header="0.3" footer="0.3"/>
</ns0:worksheet>
</file>